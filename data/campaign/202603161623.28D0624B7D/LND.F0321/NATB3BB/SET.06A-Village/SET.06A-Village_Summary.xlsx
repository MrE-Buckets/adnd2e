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ummary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7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1"/>
    </font>
    <font>
      <name val="Calibri"/>
      <charset val="1"/>
      <family val="2"/>
      <b val="1"/>
      <color rgb="FFFFFFFF"/>
      <sz val="11"/>
    </font>
    <font>
      <name val="Calibri"/>
      <charset val="1"/>
      <family val="2"/>
      <b val="1"/>
      <sz val="11"/>
    </font>
  </fonts>
  <fills count="12">
    <fill>
      <patternFill/>
    </fill>
    <fill>
      <patternFill patternType="gray125"/>
    </fill>
    <fill>
      <patternFill patternType="solid">
        <fgColor rgb="FF006100"/>
        <bgColor rgb="FF003300"/>
      </patternFill>
    </fill>
    <fill>
      <patternFill patternType="solid">
        <fgColor rgb="FF000000"/>
        <bgColor rgb="FF003300"/>
      </patternFill>
    </fill>
    <fill>
      <patternFill patternType="solid">
        <fgColor rgb="FF6B5E9B"/>
        <bgColor rgb="FF5983B0"/>
      </patternFill>
    </fill>
    <fill>
      <patternFill patternType="solid">
        <fgColor rgb="FF069A2E"/>
        <bgColor rgb="FF008080"/>
      </patternFill>
    </fill>
    <fill>
      <patternFill patternType="solid">
        <fgColor rgb="FF77BC65"/>
        <bgColor rgb="FF99CC00"/>
      </patternFill>
    </fill>
    <fill>
      <patternFill patternType="solid">
        <fgColor rgb="FFE6E905"/>
        <bgColor rgb="FFFFFF00"/>
      </patternFill>
    </fill>
    <fill>
      <patternFill patternType="solid">
        <fgColor rgb="FFC6EFCE"/>
        <bgColor rgb="FFCCFFFF"/>
      </patternFill>
    </fill>
    <fill>
      <patternFill patternType="solid">
        <fgColor rgb="FFFFFFA6"/>
        <bgColor rgb="FFFFFFCC"/>
      </patternFill>
    </fill>
    <fill>
      <patternFill patternType="solid">
        <fgColor rgb="FF000080"/>
        <bgColor rgb="FF000080"/>
      </patternFill>
    </fill>
    <fill>
      <patternFill patternType="solid">
        <fgColor rgb="FF5983B0"/>
        <bgColor rgb="FF6B5E9B"/>
      </patternFill>
    </fill>
  </fills>
  <borders count="5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/>
      <right/>
      <top style="hair"/>
      <bottom/>
      <diagonal/>
    </border>
    <border>
      <left/>
      <right style="hair"/>
      <top style="hair"/>
      <bottom/>
      <diagonal/>
    </border>
    <border>
      <left/>
      <right style="hair"/>
      <top style="hair"/>
      <bottom style="hair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2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  <xf numFmtId="0" fontId="4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0" fillId="0" borderId="4" pivotButton="0" quotePrefix="0" xfId="0"/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E6E905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5983B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A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5E9B"/>
      <rgbColor rgb="FF77BC65"/>
      <rgbColor rgb="FF003366"/>
      <rgbColor rgb="FF069A2E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O2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N13" activeCellId="0" sqref="N13"/>
    </sheetView>
  </sheetViews>
  <sheetFormatPr baseColWidth="8" defaultColWidth="11.55078125" defaultRowHeight="13.8" customHeight="1" zeroHeight="0" outlineLevelRow="0"/>
  <cols>
    <col width="14.88" customWidth="1" style="21" min="1" max="1"/>
    <col width="11.55" customWidth="1" style="21" min="2" max="16384"/>
  </cols>
  <sheetData>
    <row r="1" ht="13.8" customHeight="1" s="22">
      <c r="A1" s="23" t="inlineStr">
        <is>
          <t>SET.06A-Village</t>
        </is>
      </c>
      <c r="B1" s="24" t="n"/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4" t="n"/>
    </row>
    <row r="2" ht="13.8" customHeight="1" s="22">
      <c r="A2" s="25" t="inlineStr">
        <is>
          <t>Race</t>
        </is>
      </c>
      <c r="B2" s="26" t="inlineStr">
        <is>
          <t>Dwarf</t>
        </is>
      </c>
      <c r="C2" s="27" t="n"/>
      <c r="D2" s="26" t="inlineStr">
        <is>
          <t>Elf</t>
        </is>
      </c>
      <c r="E2" s="27" t="n"/>
      <c r="F2" s="26" t="inlineStr">
        <is>
          <t>Gnome</t>
        </is>
      </c>
      <c r="G2" s="27" t="n"/>
      <c r="H2" s="26" t="inlineStr">
        <is>
          <t>Half-Elf</t>
        </is>
      </c>
      <c r="I2" s="27" t="n"/>
      <c r="J2" s="26" t="inlineStr">
        <is>
          <t>Halfling</t>
        </is>
      </c>
      <c r="K2" s="27" t="n"/>
      <c r="L2" s="26" t="inlineStr">
        <is>
          <t>Human</t>
        </is>
      </c>
      <c r="M2" s="27" t="n"/>
      <c r="N2" s="28" t="inlineStr">
        <is>
          <t>Totals</t>
        </is>
      </c>
      <c r="O2" s="27" t="n"/>
    </row>
    <row r="3" ht="13.8" customHeight="1" s="22">
      <c r="A3" s="25" t="inlineStr">
        <is>
          <t>Commoner</t>
        </is>
      </c>
      <c r="B3" s="29" t="n">
        <v>397</v>
      </c>
      <c r="C3" s="30">
        <f>IFERROR((B3/$N$7),"")</f>
        <v/>
      </c>
      <c r="D3" s="29" t="n">
        <v>0</v>
      </c>
      <c r="E3" s="30">
        <f>IFERROR((D3/$N$7),"")</f>
        <v/>
      </c>
      <c r="F3" s="29" t="n">
        <v>0</v>
      </c>
      <c r="G3" s="30">
        <f>IFERROR((F3/$N$7),"")</f>
        <v/>
      </c>
      <c r="H3" s="29" t="n">
        <v>0</v>
      </c>
      <c r="I3" s="30">
        <f>IFERROR((H3/$N$7),"")</f>
        <v/>
      </c>
      <c r="J3" s="29" t="n">
        <v>0</v>
      </c>
      <c r="K3" s="30">
        <f>IFERROR((J3/$N$7),"")</f>
        <v/>
      </c>
      <c r="L3" s="29" t="n">
        <v>0</v>
      </c>
      <c r="M3" s="30">
        <f>IFERROR((L3/$N$7),"")</f>
        <v/>
      </c>
      <c r="N3" s="31">
        <f>SUM(L3,J3,H3,F3,D3,B3)</f>
        <v/>
      </c>
      <c r="O3" s="32">
        <f>IFERROR((N3/$N$7),"")</f>
        <v/>
      </c>
    </row>
    <row r="4" ht="13.8" customHeight="1" s="22">
      <c r="A4" s="25" t="inlineStr">
        <is>
          <t>Elite</t>
        </is>
      </c>
      <c r="B4" s="33" t="n">
        <v>10</v>
      </c>
      <c r="C4" s="34">
        <f>IFERROR((B4/$N$7),"")</f>
        <v/>
      </c>
      <c r="D4" s="33" t="n">
        <v>5</v>
      </c>
      <c r="E4" s="34">
        <f>IFERROR((D4/$N$7),"")</f>
        <v/>
      </c>
      <c r="F4" s="33" t="n">
        <v>3</v>
      </c>
      <c r="G4" s="34">
        <f>IFERROR((F4/$N$7),"")</f>
        <v/>
      </c>
      <c r="H4" s="33" t="n">
        <v>2</v>
      </c>
      <c r="I4" s="34">
        <f>IFERROR((H4/$N$7),"")</f>
        <v/>
      </c>
      <c r="J4" s="33" t="n">
        <v>2</v>
      </c>
      <c r="K4" s="34">
        <f>IFERROR((J4/$N$7),"")</f>
        <v/>
      </c>
      <c r="L4" s="33" t="n">
        <v>1</v>
      </c>
      <c r="M4" s="34">
        <f>IFERROR((L4/$N$7),"")</f>
        <v/>
      </c>
      <c r="N4" s="35">
        <f>SUM(L4,J4,H4,F4,D4,B4)</f>
        <v/>
      </c>
      <c r="O4" s="36">
        <f>IFERROR((N4/$N$7),"")</f>
        <v/>
      </c>
    </row>
    <row r="5" ht="13.8" customHeight="1" s="22">
      <c r="A5" s="25" t="inlineStr">
        <is>
          <t>Adventurer</t>
        </is>
      </c>
      <c r="B5" s="29" t="n">
        <v>2</v>
      </c>
      <c r="C5" s="30">
        <f>IFERROR((B5/$N$7),"")</f>
        <v/>
      </c>
      <c r="D5" s="29" t="n">
        <v>1</v>
      </c>
      <c r="E5" s="30">
        <f>IFERROR((D5/$N$7),"")</f>
        <v/>
      </c>
      <c r="F5" s="29" t="n">
        <v>2</v>
      </c>
      <c r="G5" s="30">
        <f>IFERROR((F5/$N$7),"")</f>
        <v/>
      </c>
      <c r="H5" s="29" t="n">
        <v>3</v>
      </c>
      <c r="I5" s="30">
        <f>IFERROR((H5/$N$7),"")</f>
        <v/>
      </c>
      <c r="J5" s="29" t="n">
        <v>0</v>
      </c>
      <c r="K5" s="30">
        <f>IFERROR((J5/$N$7),"")</f>
        <v/>
      </c>
      <c r="L5" s="29" t="n">
        <v>1</v>
      </c>
      <c r="M5" s="30">
        <f>IFERROR((L5/$N$7),"")</f>
        <v/>
      </c>
      <c r="N5" s="31">
        <f>SUM(L5,J5,H5,F5,D5,B5)</f>
        <v/>
      </c>
      <c r="O5" s="32">
        <f>IFERROR((N5/$N$7),"")</f>
        <v/>
      </c>
    </row>
    <row r="6" ht="13.8" customHeight="1" s="22">
      <c r="A6" s="25" t="inlineStr">
        <is>
          <t>Hero</t>
        </is>
      </c>
      <c r="B6" s="33" t="n">
        <v>0</v>
      </c>
      <c r="C6" s="34">
        <f>IFERROR((B6/$N$7),"")</f>
        <v/>
      </c>
      <c r="D6" s="33" t="n">
        <v>0</v>
      </c>
      <c r="E6" s="34">
        <f>IFERROR((D6/$N$7),"")</f>
        <v/>
      </c>
      <c r="F6" s="33" t="n">
        <v>0</v>
      </c>
      <c r="G6" s="34">
        <f>IFERROR((F6/$N$7),"")</f>
        <v/>
      </c>
      <c r="H6" s="33" t="n">
        <v>0</v>
      </c>
      <c r="I6" s="34">
        <f>IFERROR((H6/$N$7),"")</f>
        <v/>
      </c>
      <c r="J6" s="33" t="n">
        <v>0</v>
      </c>
      <c r="K6" s="34">
        <f>IFERROR((J6/$N$7),"")</f>
        <v/>
      </c>
      <c r="L6" s="33" t="n">
        <v>0</v>
      </c>
      <c r="M6" s="34">
        <f>IFERROR((L6/$N$7),"")</f>
        <v/>
      </c>
      <c r="N6" s="35">
        <f>SUM(L6,J6,H6,F6,D6,B6)</f>
        <v/>
      </c>
      <c r="O6" s="36">
        <f>IFERROR((N6/$N$7),"")</f>
        <v/>
      </c>
    </row>
    <row r="7" ht="13.8" customHeight="1" s="22">
      <c r="A7" s="37" t="inlineStr">
        <is>
          <t>Totals</t>
        </is>
      </c>
      <c r="B7" s="38">
        <f>SUM(B3:B6)</f>
        <v/>
      </c>
      <c r="C7" s="39">
        <f>IFERROR((B7/$N$7),0)</f>
        <v/>
      </c>
      <c r="D7" s="38">
        <f>SUM(D3:D6)</f>
        <v/>
      </c>
      <c r="E7" s="39">
        <f>IFERROR((D7/$N$7),0)</f>
        <v/>
      </c>
      <c r="F7" s="38">
        <f>SUM(F3:F6)</f>
        <v/>
      </c>
      <c r="G7" s="39">
        <f>IFERROR((F7/$N$7),0)</f>
        <v/>
      </c>
      <c r="H7" s="38">
        <f>SUM(H3:H6)</f>
        <v/>
      </c>
      <c r="I7" s="39">
        <f>IFERROR((H7/$N$7),0)</f>
        <v/>
      </c>
      <c r="J7" s="38">
        <f>SUM(J3:J6)</f>
        <v/>
      </c>
      <c r="K7" s="39">
        <f>IFERROR((J7/$N$7),0)</f>
        <v/>
      </c>
      <c r="L7" s="38">
        <f>SUM(L3:L6)</f>
        <v/>
      </c>
      <c r="M7" s="39">
        <f>IFERROR((L7/$N$7),0)</f>
        <v/>
      </c>
      <c r="N7" s="40">
        <f>SUM(N3:N6)</f>
        <v/>
      </c>
      <c r="O7" s="41">
        <f>IFERROR((N7/$N$7),0)</f>
        <v/>
      </c>
    </row>
    <row r="8" ht="13.8" customHeight="1" s="22">
      <c r="A8" s="24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</row>
    <row r="9" ht="13.8" customHeight="1" s="22">
      <c r="A9" s="24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</row>
    <row r="10" ht="13.8" customHeight="1" s="22">
      <c r="A10" s="21" t="n"/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</row>
    <row r="22" ht="13.8" customHeight="1" s="22">
      <c r="H22" s="24" t="n"/>
    </row>
    <row r="23" ht="13.8" customHeight="1" s="22">
      <c r="H23" s="24" t="n"/>
    </row>
    <row r="1048541" ht="12.8" customHeight="1" s="22"/>
    <row r="1048542" ht="12.8" customHeight="1" s="22"/>
    <row r="1048543" ht="12.8" customHeight="1" s="22"/>
    <row r="1048544" ht="12.8" customHeight="1" s="22"/>
    <row r="1048545" ht="12.8" customHeight="1" s="22"/>
    <row r="1048546" ht="12.8" customHeight="1" s="22"/>
    <row r="1048547" ht="12.8" customHeight="1" s="22"/>
    <row r="1048548" ht="12.8" customHeight="1" s="22"/>
    <row r="1048549" ht="12.8" customHeight="1" s="22"/>
    <row r="1048550" ht="12.8" customHeight="1" s="22"/>
    <row r="1048551" ht="12.8" customHeight="1" s="22"/>
    <row r="1048552" ht="12.8" customHeight="1" s="22"/>
    <row r="1048553" ht="12.8" customHeight="1" s="22"/>
    <row r="1048554" ht="12.8" customHeight="1" s="22"/>
    <row r="1048555" ht="12.8" customHeight="1" s="22"/>
    <row r="1048556" ht="12.8" customHeight="1" s="22"/>
    <row r="1048557" ht="12.8" customHeight="1" s="22"/>
    <row r="1048558" ht="12.8" customHeight="1" s="22"/>
    <row r="1048559" ht="12.8" customHeight="1" s="22"/>
    <row r="1048560" ht="12.8" customHeight="1" s="22"/>
    <row r="1048561" ht="12.8" customHeight="1" s="22"/>
    <row r="1048562" ht="12.8" customHeight="1" s="22"/>
    <row r="1048563" ht="12.8" customHeight="1" s="22"/>
    <row r="1048564" ht="12.8" customHeight="1" s="22"/>
    <row r="1048565" ht="12.8" customHeight="1" s="22"/>
    <row r="1048566" ht="12.8" customHeight="1" s="22"/>
    <row r="1048567" ht="12.8" customHeight="1" s="22"/>
    <row r="1048568" ht="12.8" customHeight="1" s="22"/>
    <row r="1048569" ht="12.8" customHeight="1" s="22"/>
    <row r="1048570" ht="12.8" customHeight="1" s="22"/>
    <row r="1048571" ht="12.8" customHeight="1" s="22"/>
    <row r="1048572" ht="12.8" customHeight="1" s="22"/>
    <row r="1048573" ht="12.8" customHeight="1" s="22"/>
    <row r="1048574" ht="12.8" customHeight="1" s="22"/>
    <row r="1048575" ht="12.8" customHeight="1" s="22"/>
    <row r="1048576" ht="12.8" customHeight="1" s="22"/>
  </sheetData>
  <mergeCells count="7">
    <mergeCell ref="L2:M2"/>
    <mergeCell ref="F2:G2"/>
    <mergeCell ref="B2:C2"/>
    <mergeCell ref="H2:I2"/>
    <mergeCell ref="D2:E2"/>
    <mergeCell ref="J2:K2"/>
    <mergeCell ref="N2:O2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dcterms:created xsi:type="dcterms:W3CDTF">2026-03-11T05:19:03Z</dcterms:created>
  <dcterms:modified xsi:type="dcterms:W3CDTF">2026-03-16T22:24:02Z</dcterms:modified>
  <cp:revision>17</cp:revision>
</cp:coreProperties>
</file>
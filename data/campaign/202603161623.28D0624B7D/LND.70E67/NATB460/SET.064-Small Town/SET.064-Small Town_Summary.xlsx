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5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0" fillId="0" borderId="4" pivotButton="0" quotePrefix="0" xfId="0"/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N13" activeCellId="0" sqref="N13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SET.064-Small Town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</row>
    <row r="2" ht="13.8" customHeight="1" s="22">
      <c r="A2" s="25" t="inlineStr">
        <is>
          <t>Race</t>
        </is>
      </c>
      <c r="B2" s="26" t="inlineStr">
        <is>
          <t>Dwarf</t>
        </is>
      </c>
      <c r="C2" s="27" t="n"/>
      <c r="D2" s="26" t="inlineStr">
        <is>
          <t>Elf</t>
        </is>
      </c>
      <c r="E2" s="27" t="n"/>
      <c r="F2" s="26" t="inlineStr">
        <is>
          <t>Gnome</t>
        </is>
      </c>
      <c r="G2" s="27" t="n"/>
      <c r="H2" s="26" t="inlineStr">
        <is>
          <t>Half-Elf</t>
        </is>
      </c>
      <c r="I2" s="27" t="n"/>
      <c r="J2" s="26" t="inlineStr">
        <is>
          <t>Halfling</t>
        </is>
      </c>
      <c r="K2" s="27" t="n"/>
      <c r="L2" s="26" t="inlineStr">
        <is>
          <t>Human</t>
        </is>
      </c>
      <c r="M2" s="27" t="n"/>
      <c r="N2" s="28" t="inlineStr">
        <is>
          <t>Totals</t>
        </is>
      </c>
      <c r="O2" s="27" t="n"/>
    </row>
    <row r="3" ht="13.8" customHeight="1" s="22">
      <c r="A3" s="25" t="inlineStr">
        <is>
          <t>Commoner</t>
        </is>
      </c>
      <c r="B3" s="29" t="n">
        <v>817</v>
      </c>
      <c r="C3" s="30">
        <f>IFERROR((B3/$N$7),"")</f>
        <v/>
      </c>
      <c r="D3" s="29" t="n">
        <v>0</v>
      </c>
      <c r="E3" s="30">
        <f>IFERROR((D3/$N$7),"")</f>
        <v/>
      </c>
      <c r="F3" s="29" t="n">
        <v>0</v>
      </c>
      <c r="G3" s="30">
        <f>IFERROR((F3/$N$7),"")</f>
        <v/>
      </c>
      <c r="H3" s="29" t="n">
        <v>0</v>
      </c>
      <c r="I3" s="30">
        <f>IFERROR((H3/$N$7),"")</f>
        <v/>
      </c>
      <c r="J3" s="29" t="n">
        <v>0</v>
      </c>
      <c r="K3" s="30">
        <f>IFERROR((J3/$N$7),"")</f>
        <v/>
      </c>
      <c r="L3" s="29" t="n">
        <v>0</v>
      </c>
      <c r="M3" s="30">
        <f>IFERROR((L3/$N$7),"")</f>
        <v/>
      </c>
      <c r="N3" s="31">
        <f>SUM(L3,J3,H3,F3,D3,B3)</f>
        <v/>
      </c>
      <c r="O3" s="32">
        <f>IFERROR((N3/$N$7),"")</f>
        <v/>
      </c>
    </row>
    <row r="4" ht="13.8" customHeight="1" s="22">
      <c r="A4" s="25" t="inlineStr">
        <is>
          <t>Elite</t>
        </is>
      </c>
      <c r="B4" s="33" t="n">
        <v>28</v>
      </c>
      <c r="C4" s="34">
        <f>IFERROR((B4/$N$7),"")</f>
        <v/>
      </c>
      <c r="D4" s="33" t="n">
        <v>8</v>
      </c>
      <c r="E4" s="34">
        <f>IFERROR((D4/$N$7),"")</f>
        <v/>
      </c>
      <c r="F4" s="33" t="n">
        <v>6</v>
      </c>
      <c r="G4" s="34">
        <f>IFERROR((F4/$N$7),"")</f>
        <v/>
      </c>
      <c r="H4" s="33" t="n">
        <v>8</v>
      </c>
      <c r="I4" s="34">
        <f>IFERROR((H4/$N$7),"")</f>
        <v/>
      </c>
      <c r="J4" s="33" t="n">
        <v>12</v>
      </c>
      <c r="K4" s="34">
        <f>IFERROR((J4/$N$7),"")</f>
        <v/>
      </c>
      <c r="L4" s="33" t="n">
        <v>10</v>
      </c>
      <c r="M4" s="34">
        <f>IFERROR((L4/$N$7),"")</f>
        <v/>
      </c>
      <c r="N4" s="35">
        <f>SUM(L4,J4,H4,F4,D4,B4)</f>
        <v/>
      </c>
      <c r="O4" s="36">
        <f>IFERROR((N4/$N$7),"")</f>
        <v/>
      </c>
    </row>
    <row r="5" ht="13.8" customHeight="1" s="22">
      <c r="A5" s="25" t="inlineStr">
        <is>
          <t>Adventurer</t>
        </is>
      </c>
      <c r="B5" s="29" t="n">
        <v>2</v>
      </c>
      <c r="C5" s="30">
        <f>IFERROR((B5/$N$7),"")</f>
        <v/>
      </c>
      <c r="D5" s="29" t="n">
        <v>2</v>
      </c>
      <c r="E5" s="30">
        <f>IFERROR((D5/$N$7),"")</f>
        <v/>
      </c>
      <c r="F5" s="29" t="n">
        <v>1</v>
      </c>
      <c r="G5" s="30">
        <f>IFERROR((F5/$N$7),"")</f>
        <v/>
      </c>
      <c r="H5" s="29" t="n">
        <v>2</v>
      </c>
      <c r="I5" s="30">
        <f>IFERROR((H5/$N$7),"")</f>
        <v/>
      </c>
      <c r="J5" s="29" t="n">
        <v>1</v>
      </c>
      <c r="K5" s="30">
        <f>IFERROR((J5/$N$7),"")</f>
        <v/>
      </c>
      <c r="L5" s="29" t="n">
        <v>4</v>
      </c>
      <c r="M5" s="30">
        <f>IFERROR((L5/$N$7),"")</f>
        <v/>
      </c>
      <c r="N5" s="31">
        <f>SUM(L5,J5,H5,F5,D5,B5)</f>
        <v/>
      </c>
      <c r="O5" s="32">
        <f>IFERROR((N5/$N$7),"")</f>
        <v/>
      </c>
    </row>
    <row r="6" ht="13.8" customHeight="1" s="22">
      <c r="A6" s="25" t="inlineStr">
        <is>
          <t>Hero</t>
        </is>
      </c>
      <c r="B6" s="33" t="n">
        <v>0</v>
      </c>
      <c r="C6" s="34">
        <f>IFERROR((B6/$N$7),"")</f>
        <v/>
      </c>
      <c r="D6" s="33" t="n">
        <v>0</v>
      </c>
      <c r="E6" s="34">
        <f>IFERROR((D6/$N$7),"")</f>
        <v/>
      </c>
      <c r="F6" s="33" t="n">
        <v>0</v>
      </c>
      <c r="G6" s="34">
        <f>IFERROR((F6/$N$7),"")</f>
        <v/>
      </c>
      <c r="H6" s="33" t="n">
        <v>0</v>
      </c>
      <c r="I6" s="34">
        <f>IFERROR((H6/$N$7),"")</f>
        <v/>
      </c>
      <c r="J6" s="33" t="n">
        <v>0</v>
      </c>
      <c r="K6" s="34">
        <f>IFERROR((J6/$N$7),"")</f>
        <v/>
      </c>
      <c r="L6" s="33" t="n">
        <v>0</v>
      </c>
      <c r="M6" s="34">
        <f>IFERROR((L6/$N$7),"")</f>
        <v/>
      </c>
      <c r="N6" s="35">
        <f>SUM(L6,J6,H6,F6,D6,B6)</f>
        <v/>
      </c>
      <c r="O6" s="36">
        <f>IFERROR((N6/$N$7),"")</f>
        <v/>
      </c>
    </row>
    <row r="7" ht="13.8" customHeight="1" s="22">
      <c r="A7" s="37" t="inlineStr">
        <is>
          <t>Totals</t>
        </is>
      </c>
      <c r="B7" s="38">
        <f>SUM(B3:B6)</f>
        <v/>
      </c>
      <c r="C7" s="39">
        <f>IFERROR((B7/$N$7),0)</f>
        <v/>
      </c>
      <c r="D7" s="38">
        <f>SUM(D3:D6)</f>
        <v/>
      </c>
      <c r="E7" s="39">
        <f>IFERROR((D7/$N$7),0)</f>
        <v/>
      </c>
      <c r="F7" s="38">
        <f>SUM(F3:F6)</f>
        <v/>
      </c>
      <c r="G7" s="39">
        <f>IFERROR((F7/$N$7),0)</f>
        <v/>
      </c>
      <c r="H7" s="38">
        <f>SUM(H3:H6)</f>
        <v/>
      </c>
      <c r="I7" s="39">
        <f>IFERROR((H7/$N$7),0)</f>
        <v/>
      </c>
      <c r="J7" s="38">
        <f>SUM(J3:J6)</f>
        <v/>
      </c>
      <c r="K7" s="39">
        <f>IFERROR((J7/$N$7),0)</f>
        <v/>
      </c>
      <c r="L7" s="38">
        <f>SUM(L3:L6)</f>
        <v/>
      </c>
      <c r="M7" s="39">
        <f>IFERROR((L7/$N$7),0)</f>
        <v/>
      </c>
      <c r="N7" s="40">
        <f>SUM(N3:N6)</f>
        <v/>
      </c>
      <c r="O7" s="41">
        <f>IFERROR((N7/$N$7),0)</f>
        <v/>
      </c>
    </row>
    <row r="8" ht="13.8" customHeight="1" s="22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</row>
    <row r="9" ht="13.8" customHeight="1" s="22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24" t="n"/>
    </row>
    <row r="23" ht="13.8" customHeight="1" s="22">
      <c r="H23" s="24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7">
    <mergeCell ref="L2:M2"/>
    <mergeCell ref="F2:G2"/>
    <mergeCell ref="B2:C2"/>
    <mergeCell ref="H2:I2"/>
    <mergeCell ref="D2:E2"/>
    <mergeCell ref="J2:K2"/>
    <mergeCell ref="N2:O2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2026-03-16T22:24:02Z</dcterms:modified>
  <cp:revision>17</cp:revision>
</cp:coreProperties>
</file>